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<sst xmlns="http://schemas.openxmlformats.org/spreadsheetml/2006/main" count="15" uniqueCount="15">
  <si>
    <t>PRACTICA</t>
  </si>
  <si>
    <t>Galeno Quirúrgico Basico</t>
  </si>
  <si>
    <t>Galeno Quirúrgico Categoria B1</t>
  </si>
  <si>
    <t>Galeno Quirúrgico Categoria C</t>
  </si>
  <si>
    <t>Gasto Quirúrgico Ambulatorio</t>
  </si>
  <si>
    <t>Galeno Práctica Basico</t>
  </si>
  <si>
    <t>Galeno Práctica Categoria B1</t>
  </si>
  <si>
    <t>Galeno Práctica Categoria C</t>
  </si>
  <si>
    <t>Gasto Radiológico</t>
  </si>
  <si>
    <t>Gasto Eco</t>
  </si>
  <si>
    <t>Otros Gastos</t>
  </si>
  <si>
    <t>Gastos Bioquímico</t>
  </si>
  <si>
    <t>Consulta Clínica (Basico)</t>
  </si>
  <si>
    <t>Consulta Categoria B1</t>
  </si>
  <si>
    <t>Consulta Categoria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</si>
</sst>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&quot;$&quot;\ \-#,##0"/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/>
    </xf>
    <xf numFmtId="17" fontId="0" fillId="0" borderId="1" xfId="0" applyNumberFormat="1" applyBorder="1"/>
    <xf numFmtId="17" fontId="0" fillId="0" borderId="0" xfId="0" applyNumberFormat="1" applyBorder="1"/>
    <xf numFmtId="17" fontId="0" fillId="0" borderId="0" xfId="0" applyNumberFormat="1"/>
    <xf numFmtId="0" fontId="4" fillId="0" borderId="1" xfId="0" applyFont="1" applyBorder="1"/>
    <xf numFmtId="164" fontId="0" fillId="0" borderId="1" xfId="0" applyNumberFormat="1" applyBorder="1"/>
    <xf numFmtId="44" fontId="0" fillId="0" borderId="2" xfId="0" applyNumberFormat="1" applyBorder="1"/>
    <xf numFmtId="164" fontId="0" fillId="0" borderId="0" xfId="0" applyNumberFormat="1" applyBorder="1"/>
    <xf numFmtId="164" fontId="0" fillId="0" borderId="4" xfId="0" applyNumberFormat="1" applyFill="1" applyBorder="1"/>
    <xf numFmtId="164" fontId="0" fillId="0" borderId="0" xfId="0" applyNumberFormat="1" applyFill="1" applyBorder="1"/>
    <xf numFmtId="0" fontId="4" fillId="3" borderId="1" xfId="0" applyFont="1" applyFill="1" applyBorder="1"/>
    <xf numFmtId="164" fontId="0" fillId="3" borderId="1" xfId="0" applyNumberFormat="1" applyFill="1" applyBorder="1"/>
    <xf numFmtId="164" fontId="0" fillId="3" borderId="0" xfId="0" applyNumberFormat="1" applyFill="1" applyBorder="1"/>
    <xf numFmtId="0" fontId="0" fillId="3" borderId="0" xfId="0" applyFill="1"/>
    <xf numFmtId="6" fontId="5" fillId="0" borderId="1" xfId="0" applyNumberFormat="1" applyFont="1" applyBorder="1" applyAlignment="1">
      <alignment horizontal="center"/>
    </xf>
    <xf numFmtId="44" fontId="6" fillId="3" borderId="1" xfId="1" applyFont="1" applyFill="1" applyBorder="1" applyAlignment="1">
      <alignment horizontal="center" vertical="center" wrapText="1"/>
    </xf>
    <xf numFmtId="44" fontId="6" fillId="3" borderId="0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I15"/>
    </sheetView>
  </sheetViews>
  <sheetFormatPr baseColWidth="10" defaultColWidth="9.140625" defaultRowHeight="15" x14ac:dyDescent="0.25"/>
  <sheetData>
    <row r="1" spans="1:9" ht="31.5" x14ac:dyDescent="0.25">
      <c r="A1" s="1" t="s">
        <v>0</v>
      </c>
      <c r="B1" s="2">
        <v>45352</v>
      </c>
      <c r="C1" s="3">
        <v>45444</v>
      </c>
      <c r="D1" s="4">
        <v>45597</v>
      </c>
      <c r="E1" s="4">
        <v>45778</v>
      </c>
      <c r="F1" s="5">
        <v>46023</v>
      </c>
      <c r="G1" s="5">
        <v>46054</v>
      </c>
      <c r="H1" s="6">
        <v>46082</v>
      </c>
      <c r="I1" s="6">
        <v>46113</v>
      </c>
    </row>
    <row r="2" spans="1:9" ht="15.75" x14ac:dyDescent="0.25">
      <c r="A2" s="7" t="s">
        <v>1</v>
      </c>
      <c r="B2" s="8">
        <v>390.80449999999996</v>
      </c>
      <c r="C2" s="9">
        <f>SUM(B2*115%)</f>
        <v>449.42517499999991</v>
      </c>
      <c r="D2" s="8">
        <f>SUM(C2*112%)</f>
        <v>503.35619599999995</v>
      </c>
      <c r="E2" s="8">
        <v>679.54</v>
      </c>
      <c r="F2" s="10">
        <v>17296.64</v>
      </c>
      <c r="G2" s="10"/>
      <c r="H2">
        <v>1831.44</v>
      </c>
      <c r="I2" s="11">
        <v>960.43</v>
      </c>
    </row>
    <row r="3" spans="1:9" ht="15.75" x14ac:dyDescent="0.25">
      <c r="A3" s="7" t="s">
        <v>2</v>
      </c>
      <c r="B3" s="8">
        <v>547.14699999999993</v>
      </c>
      <c r="C3" s="9">
        <f t="shared" ref="C3:C15" si="0">SUM(B3*115%)</f>
        <v>629.21904999999992</v>
      </c>
      <c r="D3" s="8">
        <f t="shared" ref="D3:D15" si="1">SUM(C3*112%)</f>
        <v>704.72533599999997</v>
      </c>
      <c r="E3" s="8">
        <v>951.39</v>
      </c>
      <c r="F3" s="10">
        <v>23062.19</v>
      </c>
      <c r="G3" s="10"/>
      <c r="H3">
        <v>2441.92</v>
      </c>
      <c r="I3" s="11">
        <v>1306.3900000000001</v>
      </c>
    </row>
    <row r="4" spans="1:9" ht="15.75" x14ac:dyDescent="0.25">
      <c r="A4" s="7" t="s">
        <v>3</v>
      </c>
      <c r="B4" s="8">
        <v>625.32399999999996</v>
      </c>
      <c r="C4" s="9">
        <f t="shared" si="0"/>
        <v>719.12259999999992</v>
      </c>
      <c r="D4" s="8">
        <f t="shared" si="1"/>
        <v>805.41731200000004</v>
      </c>
      <c r="E4" s="8">
        <v>1087.32</v>
      </c>
      <c r="F4" s="10">
        <v>26905.89</v>
      </c>
      <c r="G4" s="10"/>
      <c r="H4">
        <v>2848.91</v>
      </c>
      <c r="I4" s="11">
        <v>1474.41</v>
      </c>
    </row>
    <row r="5" spans="1:9" ht="15.75" x14ac:dyDescent="0.25">
      <c r="A5" s="7" t="s">
        <v>4</v>
      </c>
      <c r="B5" s="8">
        <v>312.66199999999998</v>
      </c>
      <c r="C5" s="9">
        <f t="shared" si="0"/>
        <v>359.56129999999996</v>
      </c>
      <c r="D5" s="8">
        <f t="shared" si="1"/>
        <v>402.70865600000002</v>
      </c>
      <c r="E5" s="8">
        <v>543.66</v>
      </c>
      <c r="F5" s="10">
        <v>568.69000000000005</v>
      </c>
      <c r="G5">
        <v>585.19000000000005</v>
      </c>
      <c r="H5">
        <v>602.16</v>
      </c>
      <c r="I5" s="12">
        <v>623.23</v>
      </c>
    </row>
    <row r="6" spans="1:9" ht="15.75" x14ac:dyDescent="0.25">
      <c r="A6" s="13" t="s">
        <v>5</v>
      </c>
      <c r="B6" s="8">
        <v>234.48499999999999</v>
      </c>
      <c r="C6" s="9">
        <f t="shared" si="0"/>
        <v>269.65774999999996</v>
      </c>
      <c r="D6" s="8">
        <f t="shared" si="1"/>
        <v>302.01668000000001</v>
      </c>
      <c r="E6" s="14">
        <v>407.73</v>
      </c>
      <c r="F6" s="15">
        <v>876.39</v>
      </c>
      <c r="G6" s="10">
        <v>901.8</v>
      </c>
      <c r="H6">
        <v>927.95</v>
      </c>
      <c r="I6" s="16">
        <v>960.43</v>
      </c>
    </row>
    <row r="7" spans="1:9" ht="15.75" x14ac:dyDescent="0.25">
      <c r="A7" s="13" t="s">
        <v>6</v>
      </c>
      <c r="B7" s="8">
        <v>351.72750000000002</v>
      </c>
      <c r="C7" s="9">
        <f t="shared" si="0"/>
        <v>404.486625</v>
      </c>
      <c r="D7" s="8">
        <f t="shared" si="1"/>
        <v>453.02502000000004</v>
      </c>
      <c r="E7" s="14">
        <v>611.59</v>
      </c>
      <c r="F7" s="15">
        <v>1192.07</v>
      </c>
      <c r="G7" s="15">
        <v>1226.6400000000001</v>
      </c>
      <c r="H7">
        <v>1262.21</v>
      </c>
      <c r="I7" s="16">
        <v>1306.3900000000001</v>
      </c>
    </row>
    <row r="8" spans="1:9" ht="15.75" x14ac:dyDescent="0.25">
      <c r="A8" s="13" t="s">
        <v>7</v>
      </c>
      <c r="B8" s="8">
        <v>588.91</v>
      </c>
      <c r="C8" s="9">
        <f t="shared" si="0"/>
        <v>677.24649999999986</v>
      </c>
      <c r="D8" s="8">
        <f t="shared" si="1"/>
        <v>758.51607999999987</v>
      </c>
      <c r="E8" s="14">
        <v>1024</v>
      </c>
      <c r="F8" s="15">
        <v>1345.39</v>
      </c>
      <c r="G8" s="15">
        <v>1384.41</v>
      </c>
      <c r="H8">
        <v>1424.55</v>
      </c>
      <c r="I8" s="16">
        <v>1474.41</v>
      </c>
    </row>
    <row r="9" spans="1:9" ht="15.75" x14ac:dyDescent="0.25">
      <c r="A9" s="13" t="s">
        <v>8</v>
      </c>
      <c r="B9" s="8">
        <v>224.07</v>
      </c>
      <c r="C9" s="9">
        <f t="shared" si="0"/>
        <v>257.68049999999999</v>
      </c>
      <c r="D9" s="8">
        <f t="shared" si="1"/>
        <v>288.60216000000003</v>
      </c>
      <c r="E9" s="14">
        <v>389.61</v>
      </c>
      <c r="F9" s="15">
        <v>427.15</v>
      </c>
      <c r="G9" s="15">
        <v>439.54</v>
      </c>
      <c r="H9">
        <v>452.28</v>
      </c>
      <c r="I9" s="16">
        <v>468.11</v>
      </c>
    </row>
    <row r="10" spans="1:9" ht="15.75" x14ac:dyDescent="0.25">
      <c r="A10" s="13" t="s">
        <v>9</v>
      </c>
      <c r="B10" s="8">
        <v>138.7475</v>
      </c>
      <c r="C10" s="9">
        <f t="shared" si="0"/>
        <v>159.55962499999998</v>
      </c>
      <c r="D10" s="8">
        <f t="shared" si="1"/>
        <v>178.70678000000001</v>
      </c>
      <c r="E10" s="14">
        <v>389.61</v>
      </c>
      <c r="F10" s="15">
        <v>427.15</v>
      </c>
      <c r="G10" s="15">
        <v>439.54</v>
      </c>
      <c r="H10">
        <v>452.28</v>
      </c>
      <c r="I10" s="16">
        <v>468.11</v>
      </c>
    </row>
    <row r="11" spans="1:9" ht="15.75" x14ac:dyDescent="0.25">
      <c r="A11" s="13" t="s">
        <v>10</v>
      </c>
      <c r="B11" s="8">
        <v>156.34249999999997</v>
      </c>
      <c r="C11" s="9">
        <f t="shared" si="0"/>
        <v>179.79387499999996</v>
      </c>
      <c r="D11" s="8">
        <f t="shared" si="1"/>
        <v>201.36913999999996</v>
      </c>
      <c r="E11" s="14">
        <v>271.85000000000002</v>
      </c>
      <c r="F11" s="15">
        <v>213.68</v>
      </c>
      <c r="G11" s="15">
        <v>219.88</v>
      </c>
      <c r="H11">
        <v>226.25</v>
      </c>
      <c r="I11" s="16">
        <v>234.17</v>
      </c>
    </row>
    <row r="12" spans="1:9" ht="15.75" x14ac:dyDescent="0.25">
      <c r="A12" s="13" t="s">
        <v>11</v>
      </c>
      <c r="B12" s="8">
        <v>312.66199999999998</v>
      </c>
      <c r="C12" s="9">
        <f t="shared" si="0"/>
        <v>359.56129999999996</v>
      </c>
      <c r="D12" s="8">
        <f t="shared" si="1"/>
        <v>402.70865600000002</v>
      </c>
      <c r="E12" s="14">
        <v>543.66</v>
      </c>
      <c r="F12" s="15">
        <v>853.04</v>
      </c>
      <c r="G12" s="15">
        <v>877.78</v>
      </c>
      <c r="H12">
        <v>903.23</v>
      </c>
      <c r="I12" s="16">
        <v>934.85</v>
      </c>
    </row>
    <row r="13" spans="1:9" ht="15.75" x14ac:dyDescent="0.25">
      <c r="A13" s="13" t="s">
        <v>12</v>
      </c>
      <c r="B13" s="17">
        <v>8000</v>
      </c>
      <c r="C13" s="9">
        <f t="shared" si="0"/>
        <v>9200</v>
      </c>
      <c r="D13" s="8">
        <v>12000</v>
      </c>
      <c r="E13" s="18">
        <v>16200</v>
      </c>
      <c r="F13" s="19">
        <v>21300.14</v>
      </c>
      <c r="G13" s="19">
        <v>21917.85</v>
      </c>
      <c r="H13">
        <v>22553.46</v>
      </c>
      <c r="I13">
        <v>23342.83</v>
      </c>
    </row>
    <row r="14" spans="1:9" ht="15.75" x14ac:dyDescent="0.25">
      <c r="A14" s="13" t="s">
        <v>13</v>
      </c>
      <c r="B14" s="17">
        <v>9000</v>
      </c>
      <c r="C14" s="9">
        <f t="shared" si="0"/>
        <v>10350</v>
      </c>
      <c r="D14" s="8">
        <v>14000</v>
      </c>
      <c r="E14" s="18">
        <v>18900</v>
      </c>
      <c r="F14" s="19">
        <v>27528.28</v>
      </c>
      <c r="G14" s="19">
        <v>28326.6</v>
      </c>
      <c r="H14">
        <v>29148.07</v>
      </c>
      <c r="I14">
        <v>30168.25</v>
      </c>
    </row>
    <row r="15" spans="1:9" ht="15.75" x14ac:dyDescent="0.25">
      <c r="A15" s="13" t="s">
        <v>14</v>
      </c>
      <c r="B15" s="17">
        <v>10000</v>
      </c>
      <c r="C15" s="9">
        <f t="shared" si="0"/>
        <v>11500</v>
      </c>
      <c r="D15" s="8">
        <v>15000</v>
      </c>
      <c r="E15" s="18">
        <v>20250</v>
      </c>
      <c r="F15" s="19">
        <v>30531.360000000001</v>
      </c>
      <c r="G15" s="19">
        <v>31416.77</v>
      </c>
      <c r="H15">
        <v>32327.86</v>
      </c>
      <c r="I15">
        <v>33459.33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2026-06-30T13:56:42Z</dcterms:modified>
</cp:coreProperties>
</file>